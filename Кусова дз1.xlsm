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0" yWindow="30" windowWidth="19140" windowHeight="7090"/>
  </bookViews>
  <sheets>
    <sheet name="Кусова дз1" sheetId="1" r:id="rId1"/>
  </sheets>
  <calcPr calcId="145621"/>
</workbook>
</file>

<file path=xl/calcChain.xml><?xml version="1.0" encoding="utf-8"?>
<calcChain xmlns="http://schemas.openxmlformats.org/spreadsheetml/2006/main">
  <c r="AI11" i="1" l="1"/>
  <c r="E11" i="1"/>
  <c r="B2" i="1"/>
  <c r="F10" i="1" s="1"/>
  <c r="G10" i="1" s="1"/>
  <c r="H10" i="1" s="1"/>
  <c r="I10" i="1" s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AA10" i="1" s="1"/>
  <c r="AB10" i="1" s="1"/>
  <c r="AC10" i="1" s="1"/>
  <c r="AD10" i="1" s="1"/>
  <c r="AE10" i="1" s="1"/>
  <c r="AF10" i="1" s="1"/>
  <c r="AG10" i="1" s="1"/>
  <c r="AH10" i="1" s="1"/>
  <c r="AI10" i="1" s="1"/>
  <c r="B3" i="1" l="1"/>
  <c r="F13" i="1" l="1"/>
  <c r="J13" i="1"/>
  <c r="N13" i="1"/>
  <c r="R13" i="1"/>
  <c r="V13" i="1"/>
  <c r="Z13" i="1"/>
  <c r="AD13" i="1"/>
  <c r="AH13" i="1"/>
  <c r="U13" i="1"/>
  <c r="G13" i="1"/>
  <c r="K13" i="1"/>
  <c r="O13" i="1"/>
  <c r="S13" i="1"/>
  <c r="W13" i="1"/>
  <c r="AA13" i="1"/>
  <c r="AE13" i="1"/>
  <c r="L13" i="1"/>
  <c r="P13" i="1"/>
  <c r="T13" i="1"/>
  <c r="X13" i="1"/>
  <c r="AB13" i="1"/>
  <c r="AF13" i="1"/>
  <c r="H13" i="1"/>
  <c r="Y13" i="1"/>
  <c r="I13" i="1"/>
  <c r="M13" i="1"/>
  <c r="Q13" i="1"/>
  <c r="AC13" i="1"/>
  <c r="AG13" i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<sst xmlns="http://schemas.openxmlformats.org/spreadsheetml/2006/main" count="12" uniqueCount="11">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</sst>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0" fontId="0" fillId="0" borderId="10" xfId="0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</cellXfs>
  <cellStyles count="42">
    <cellStyle name="20% - Акцент1" xfId="19" builtinId="30" customBuiltin="1"/>
    <cellStyle name="20% - Акцент2" xfId="23" builtinId="34" customBuiltin="1"/>
    <cellStyle name="20% - Акцент3" xfId="27" builtinId="38" customBuiltin="1"/>
    <cellStyle name="20% - Акцент4" xfId="31" builtinId="42" customBuiltin="1"/>
    <cellStyle name="20% - Акцент5" xfId="35" builtinId="46" customBuiltin="1"/>
    <cellStyle name="20% - Акцент6" xfId="39" builtinId="50" customBuiltin="1"/>
    <cellStyle name="40% - Акцент1" xfId="20" builtinId="31" customBuiltin="1"/>
    <cellStyle name="40% - Акцент2" xfId="24" builtinId="35" customBuiltin="1"/>
    <cellStyle name="40% - Акцент3" xfId="28" builtinId="39" customBuiltin="1"/>
    <cellStyle name="40% - Акцент4" xfId="32" builtinId="43" customBuiltin="1"/>
    <cellStyle name="40% - Акцент5" xfId="36" builtinId="47" customBuiltin="1"/>
    <cellStyle name="40% - Акцент6" xfId="40" builtinId="51" customBuiltin="1"/>
    <cellStyle name="60% - Акцент1" xfId="21" builtinId="32" customBuiltin="1"/>
    <cellStyle name="60% - Акцент2" xfId="25" builtinId="36" customBuiltin="1"/>
    <cellStyle name="60% - Акцент3" xfId="29" builtinId="40" customBuiltin="1"/>
    <cellStyle name="60% - Акцент4" xfId="33" builtinId="44" customBuiltin="1"/>
    <cellStyle name="60% - Акцент5" xfId="37" builtinId="48" customBuiltin="1"/>
    <cellStyle name="60% -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444062114895154"/>
          <c:y val="0.11234799193356125"/>
          <c:w val="0.79569987675711584"/>
          <c:h val="0.86812048045813972"/>
        </c:manualLayout>
      </c:layout>
      <c:scatterChart>
        <c:scatterStyle val="smoothMarker"/>
        <c:varyColors val="0"/>
        <c:ser>
          <c:idx val="0"/>
          <c:order val="0"/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'Кусова дз1'!$E$10:$AI$10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'Кусова дз1'!$E$11:$AI$11</c:f>
              <c:numCache>
                <c:formatCode>General</c:formatCode>
                <c:ptCount val="31"/>
                <c:pt idx="0">
                  <c:v>300</c:v>
                </c:pt>
                <c:pt idx="1">
                  <c:v>293.28924743996652</c:v>
                </c:pt>
                <c:pt idx="2">
                  <c:v>286.57945826248249</c:v>
                </c:pt>
                <c:pt idx="3">
                  <c:v>279.86966908499841</c:v>
                </c:pt>
                <c:pt idx="4">
                  <c:v>273.16272795072143</c:v>
                </c:pt>
                <c:pt idx="5">
                  <c:v>266.45578681644452</c:v>
                </c:pt>
                <c:pt idx="6">
                  <c:v>259.7534539128751</c:v>
                </c:pt>
                <c:pt idx="7">
                  <c:v>253.05112100930563</c:v>
                </c:pt>
                <c:pt idx="8">
                  <c:v>246.35495512214538</c:v>
                </c:pt>
                <c:pt idx="9">
                  <c:v>239.65878923498511</c:v>
                </c:pt>
                <c:pt idx="10">
                  <c:v>232.9700796217214</c:v>
                </c:pt>
                <c:pt idx="11">
                  <c:v>226.28137000845769</c:v>
                </c:pt>
                <c:pt idx="12">
                  <c:v>219.60108005162505</c:v>
                </c:pt>
                <c:pt idx="13">
                  <c:v>212.92079009479241</c:v>
                </c:pt>
                <c:pt idx="14">
                  <c:v>206.24951519753387</c:v>
                </c:pt>
                <c:pt idx="15">
                  <c:v>199.57824030027533</c:v>
                </c:pt>
                <c:pt idx="16">
                  <c:v>192.91618186436955</c:v>
                </c:pt>
                <c:pt idx="17">
                  <c:v>186.2541234284638</c:v>
                </c:pt>
                <c:pt idx="18">
                  <c:v>179.60108005210287</c:v>
                </c:pt>
                <c:pt idx="19">
                  <c:v>172.94803667574195</c:v>
                </c:pt>
                <c:pt idx="20">
                  <c:v>166.30341295575869</c:v>
                </c:pt>
                <c:pt idx="21">
                  <c:v>159.65878923577543</c:v>
                </c:pt>
                <c:pt idx="22">
                  <c:v>153.02162178962041</c:v>
                </c:pt>
                <c:pt idx="23">
                  <c:v>146.38445434346539</c:v>
                </c:pt>
                <c:pt idx="24">
                  <c:v>139.75345391364812</c:v>
                </c:pt>
                <c:pt idx="25">
                  <c:v>133.12245348383084</c:v>
                </c:pt>
                <c:pt idx="26">
                  <c:v>126.49606128465884</c:v>
                </c:pt>
                <c:pt idx="27">
                  <c:v>119.86966908548683</c:v>
                </c:pt>
                <c:pt idx="28">
                  <c:v>113.24612492947972</c:v>
                </c:pt>
                <c:pt idx="29">
                  <c:v>106.62258077347261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346048"/>
        <c:axId val="201351936"/>
      </c:scatterChart>
      <c:valAx>
        <c:axId val="201346048"/>
        <c:scaling>
          <c:orientation val="minMax"/>
        </c:scaling>
        <c:delete val="0"/>
        <c:axPos val="b"/>
        <c:numFmt formatCode="0.0000" sourceLinked="1"/>
        <c:majorTickMark val="out"/>
        <c:minorTickMark val="none"/>
        <c:tickLblPos val="nextTo"/>
        <c:crossAx val="201351936"/>
        <c:crosses val="autoZero"/>
        <c:crossBetween val="midCat"/>
      </c:valAx>
      <c:valAx>
        <c:axId val="201351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346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546805</xdr:colOff>
      <xdr:row>13</xdr:row>
      <xdr:rowOff>138286</xdr:rowOff>
    </xdr:from>
    <xdr:to>
      <xdr:col>16</xdr:col>
      <xdr:colOff>0</xdr:colOff>
      <xdr:row>38</xdr:row>
      <xdr:rowOff>141110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569381</xdr:colOff>
      <xdr:row>13</xdr:row>
      <xdr:rowOff>163688</xdr:rowOff>
    </xdr:from>
    <xdr:ext cx="914400" cy="3427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3433937" y="2548466"/>
              <a:ext cx="914400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ru-RU" sz="1600" b="1" i="1">
                      <a:latin typeface="Cambria Math"/>
                      <a:ea typeface="Cambria Math"/>
                    </a:rPr>
                    <m:t>𝝉</m:t>
                  </m:r>
                  <m:r>
                    <a:rPr lang="en-US" sz="1600" b="1" i="1">
                      <a:latin typeface="Cambria Math"/>
                      <a:ea typeface="Cambria Math"/>
                    </a:rPr>
                    <m:t>(</m:t>
                  </m:r>
                </m:oMath>
              </a14:m>
              <a:r>
                <a:rPr lang="ru-RU" sz="1600" b="1"/>
                <a:t>С)</a:t>
              </a:r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3433937" y="2548466"/>
              <a:ext cx="914400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r>
                <a:rPr lang="ru-RU" sz="1600" b="1" i="0">
                  <a:latin typeface="Cambria Math"/>
                  <a:ea typeface="Cambria Math"/>
                </a:rPr>
                <a:t>𝝉</a:t>
              </a:r>
              <a:r>
                <a:rPr lang="en-US" sz="1600" b="1" i="0">
                  <a:latin typeface="Cambria Math"/>
                  <a:ea typeface="Cambria Math"/>
                </a:rPr>
                <a:t>(</a:t>
              </a:r>
              <a:r>
                <a:rPr lang="ru-RU" sz="1600" b="1"/>
                <a:t>С)</a:t>
              </a:r>
            </a:p>
          </xdr:txBody>
        </xdr:sp>
      </mc:Fallback>
    </mc:AlternateContent>
    <xdr:clientData/>
  </xdr:oneCellAnchor>
  <xdr:oneCellAnchor>
    <xdr:from>
      <xdr:col>14</xdr:col>
      <xdr:colOff>181328</xdr:colOff>
      <xdr:row>35</xdr:row>
      <xdr:rowOff>57855</xdr:rowOff>
    </xdr:from>
    <xdr:ext cx="914400" cy="3427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/>
            <xdr:cNvSpPr txBox="1"/>
          </xdr:nvSpPr>
          <xdr:spPr>
            <a:xfrm>
              <a:off x="7385050" y="6478411"/>
              <a:ext cx="914400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/>
                      </a:rPr>
                      <m:t>𝑳</m:t>
                    </m:r>
                    <m:r>
                      <a:rPr lang="en-US" sz="1600" b="1" i="1">
                        <a:latin typeface="Cambria Math"/>
                      </a:rPr>
                      <m:t>[</m:t>
                    </m:r>
                    <m:r>
                      <a:rPr lang="en-US" sz="1600" b="1" i="1">
                        <a:latin typeface="Cambria Math"/>
                      </a:rPr>
                      <m:t>𝒎</m:t>
                    </m:r>
                    <m:r>
                      <a:rPr lang="en-US" sz="16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600" b="1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7385050" y="6478411"/>
              <a:ext cx="914400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r>
                <a:rPr lang="en-US" sz="1600" b="1" i="0">
                  <a:latin typeface="Cambria Math"/>
                </a:rPr>
                <a:t>𝑳[𝒎]</a:t>
              </a:r>
              <a:endParaRPr lang="ru-RU" sz="1600" b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I13"/>
  <sheetViews>
    <sheetView tabSelected="1" zoomScale="70" zoomScaleNormal="70" workbookViewId="0">
      <selection activeCell="J5" sqref="J5"/>
    </sheetView>
  </sheetViews>
  <sheetFormatPr defaultRowHeight="14.5" x14ac:dyDescent="0.35"/>
  <cols>
    <col min="5" max="5" width="6.26953125" bestFit="1" customWidth="1"/>
    <col min="6" max="6" width="12" bestFit="1" customWidth="1"/>
    <col min="7" max="35" width="6.26953125" bestFit="1" customWidth="1"/>
  </cols>
  <sheetData>
    <row r="1" spans="1:35" x14ac:dyDescent="0.35">
      <c r="A1" s="1" t="s">
        <v>0</v>
      </c>
      <c r="B1" s="1">
        <v>0.1</v>
      </c>
    </row>
    <row r="2" spans="1:35" x14ac:dyDescent="0.35">
      <c r="A2" s="1" t="s">
        <v>1</v>
      </c>
      <c r="B2" s="3">
        <f>B1/30</f>
        <v>3.3333333333333335E-3</v>
      </c>
    </row>
    <row r="3" spans="1:35" x14ac:dyDescent="0.35">
      <c r="A3" s="1" t="s">
        <v>2</v>
      </c>
      <c r="B3" s="1">
        <f>(B7*B6*B2^2)/(2*B8)</f>
        <v>0.4333333333333334</v>
      </c>
    </row>
    <row r="4" spans="1:35" x14ac:dyDescent="0.35">
      <c r="A4" s="1" t="s">
        <v>3</v>
      </c>
      <c r="B4" s="1">
        <v>500</v>
      </c>
      <c r="C4">
        <v>0.4333333333333334</v>
      </c>
    </row>
    <row r="5" spans="1:35" x14ac:dyDescent="0.35">
      <c r="A5" s="6"/>
      <c r="B5" s="6"/>
      <c r="C5" s="7"/>
    </row>
    <row r="6" spans="1:35" x14ac:dyDescent="0.35">
      <c r="A6" s="1" t="s">
        <v>4</v>
      </c>
      <c r="B6" s="1">
        <v>460</v>
      </c>
    </row>
    <row r="7" spans="1:35" x14ac:dyDescent="0.35">
      <c r="A7" s="1" t="s">
        <v>5</v>
      </c>
      <c r="B7" s="1">
        <v>7800</v>
      </c>
    </row>
    <row r="8" spans="1:35" x14ac:dyDescent="0.35">
      <c r="A8" s="4" t="s">
        <v>6</v>
      </c>
      <c r="B8" s="4">
        <v>46</v>
      </c>
    </row>
    <row r="9" spans="1:35" x14ac:dyDescent="0.35">
      <c r="A9" s="6"/>
      <c r="B9" s="6"/>
      <c r="E9" s="1">
        <v>1</v>
      </c>
      <c r="F9" s="1">
        <v>2</v>
      </c>
      <c r="G9" s="1">
        <v>3</v>
      </c>
      <c r="H9" s="1">
        <v>4</v>
      </c>
      <c r="I9" s="1">
        <v>5</v>
      </c>
      <c r="J9" s="1">
        <v>6</v>
      </c>
      <c r="K9" s="1">
        <v>7</v>
      </c>
      <c r="L9" s="1">
        <v>8</v>
      </c>
      <c r="M9" s="1">
        <v>9</v>
      </c>
      <c r="N9" s="1">
        <v>10</v>
      </c>
      <c r="O9" s="1">
        <v>11</v>
      </c>
      <c r="P9" s="1">
        <v>12</v>
      </c>
      <c r="Q9" s="1">
        <v>13</v>
      </c>
      <c r="R9" s="1">
        <v>14</v>
      </c>
      <c r="S9" s="1">
        <v>15</v>
      </c>
      <c r="T9" s="1">
        <v>16</v>
      </c>
      <c r="U9" s="1">
        <v>17</v>
      </c>
      <c r="V9" s="1">
        <v>18</v>
      </c>
      <c r="W9" s="1">
        <v>19</v>
      </c>
      <c r="X9" s="1">
        <v>20</v>
      </c>
      <c r="Y9" s="1">
        <v>21</v>
      </c>
      <c r="Z9" s="1">
        <v>22</v>
      </c>
      <c r="AA9" s="1">
        <v>23</v>
      </c>
      <c r="AB9" s="1">
        <v>24</v>
      </c>
      <c r="AC9" s="1">
        <v>25</v>
      </c>
      <c r="AD9" s="1">
        <v>26</v>
      </c>
      <c r="AE9" s="1">
        <v>27</v>
      </c>
      <c r="AF9" s="1">
        <v>28</v>
      </c>
      <c r="AG9" s="1">
        <v>29</v>
      </c>
      <c r="AH9" s="1">
        <v>30</v>
      </c>
      <c r="AI9" s="1">
        <v>31</v>
      </c>
    </row>
    <row r="10" spans="1:35" x14ac:dyDescent="0.35">
      <c r="A10" s="5" t="s">
        <v>8</v>
      </c>
      <c r="B10" s="5">
        <v>300</v>
      </c>
      <c r="D10" t="s">
        <v>0</v>
      </c>
      <c r="E10" s="2">
        <v>0</v>
      </c>
      <c r="F10" s="2">
        <f>E10+$B$2</f>
        <v>3.3333333333333335E-3</v>
      </c>
      <c r="G10" s="2">
        <f t="shared" ref="G10:AI10" si="0">F10+$B$2</f>
        <v>6.6666666666666671E-3</v>
      </c>
      <c r="H10" s="2">
        <f t="shared" si="0"/>
        <v>0.01</v>
      </c>
      <c r="I10" s="2">
        <f t="shared" si="0"/>
        <v>1.3333333333333334E-2</v>
      </c>
      <c r="J10" s="2">
        <f t="shared" si="0"/>
        <v>1.6666666666666666E-2</v>
      </c>
      <c r="K10" s="2">
        <f t="shared" si="0"/>
        <v>0.02</v>
      </c>
      <c r="L10" s="2">
        <f t="shared" si="0"/>
        <v>2.3333333333333334E-2</v>
      </c>
      <c r="M10" s="2">
        <f t="shared" si="0"/>
        <v>2.6666666666666668E-2</v>
      </c>
      <c r="N10" s="2">
        <f t="shared" si="0"/>
        <v>3.0000000000000002E-2</v>
      </c>
      <c r="O10" s="2">
        <f t="shared" si="0"/>
        <v>3.3333333333333333E-2</v>
      </c>
      <c r="P10" s="2">
        <f t="shared" si="0"/>
        <v>3.6666666666666667E-2</v>
      </c>
      <c r="Q10" s="2">
        <f t="shared" si="0"/>
        <v>0.04</v>
      </c>
      <c r="R10" s="2">
        <f t="shared" si="0"/>
        <v>4.3333333333333335E-2</v>
      </c>
      <c r="S10" s="2">
        <f t="shared" si="0"/>
        <v>4.6666666666666669E-2</v>
      </c>
      <c r="T10" s="2">
        <f t="shared" si="0"/>
        <v>0.05</v>
      </c>
      <c r="U10" s="2">
        <f t="shared" si="0"/>
        <v>5.3333333333333337E-2</v>
      </c>
      <c r="V10" s="2">
        <f t="shared" si="0"/>
        <v>5.6666666666666671E-2</v>
      </c>
      <c r="W10" s="2">
        <f t="shared" si="0"/>
        <v>6.0000000000000005E-2</v>
      </c>
      <c r="X10" s="2">
        <f t="shared" si="0"/>
        <v>6.3333333333333339E-2</v>
      </c>
      <c r="Y10" s="2">
        <f t="shared" si="0"/>
        <v>6.6666666666666666E-2</v>
      </c>
      <c r="Z10" s="2">
        <f t="shared" si="0"/>
        <v>6.9999999999999993E-2</v>
      </c>
      <c r="AA10" s="2">
        <f t="shared" si="0"/>
        <v>7.333333333333332E-2</v>
      </c>
      <c r="AB10" s="2">
        <f t="shared" si="0"/>
        <v>7.6666666666666647E-2</v>
      </c>
      <c r="AC10" s="2">
        <f t="shared" si="0"/>
        <v>7.9999999999999974E-2</v>
      </c>
      <c r="AD10" s="2">
        <f t="shared" si="0"/>
        <v>8.3333333333333301E-2</v>
      </c>
      <c r="AE10" s="2">
        <f t="shared" si="0"/>
        <v>8.6666666666666628E-2</v>
      </c>
      <c r="AF10" s="2">
        <f t="shared" si="0"/>
        <v>8.9999999999999955E-2</v>
      </c>
      <c r="AG10" s="2">
        <f t="shared" si="0"/>
        <v>9.3333333333333282E-2</v>
      </c>
      <c r="AH10" s="2">
        <f t="shared" si="0"/>
        <v>9.6666666666666609E-2</v>
      </c>
      <c r="AI10" s="2">
        <f t="shared" si="0"/>
        <v>9.9999999999999936E-2</v>
      </c>
    </row>
    <row r="11" spans="1:35" x14ac:dyDescent="0.35">
      <c r="A11" s="1" t="s">
        <v>9</v>
      </c>
      <c r="B11" s="1">
        <v>100</v>
      </c>
      <c r="D11" t="s">
        <v>7</v>
      </c>
      <c r="E11">
        <f>B10</f>
        <v>300</v>
      </c>
      <c r="F11">
        <v>293.28924743996652</v>
      </c>
      <c r="G11">
        <v>286.57945826248249</v>
      </c>
      <c r="H11">
        <v>279.86966908499841</v>
      </c>
      <c r="I11">
        <v>273.16272795072143</v>
      </c>
      <c r="J11">
        <v>266.45578681644452</v>
      </c>
      <c r="K11">
        <v>259.7534539128751</v>
      </c>
      <c r="L11">
        <v>253.05112100930563</v>
      </c>
      <c r="M11">
        <v>246.35495512214538</v>
      </c>
      <c r="N11">
        <v>239.65878923498511</v>
      </c>
      <c r="O11">
        <v>232.9700796217214</v>
      </c>
      <c r="P11">
        <v>226.28137000845769</v>
      </c>
      <c r="Q11">
        <v>219.60108005162505</v>
      </c>
      <c r="R11">
        <v>212.92079009479241</v>
      </c>
      <c r="S11">
        <v>206.24951519753387</v>
      </c>
      <c r="T11">
        <v>199.57824030027533</v>
      </c>
      <c r="U11">
        <v>192.91618186436955</v>
      </c>
      <c r="V11">
        <v>186.2541234284638</v>
      </c>
      <c r="W11">
        <v>179.60108005210287</v>
      </c>
      <c r="X11">
        <v>172.94803667574195</v>
      </c>
      <c r="Y11">
        <v>166.30341295575869</v>
      </c>
      <c r="Z11">
        <v>159.65878923577543</v>
      </c>
      <c r="AA11">
        <v>153.02162178962041</v>
      </c>
      <c r="AB11">
        <v>146.38445434346539</v>
      </c>
      <c r="AC11">
        <v>139.75345391364812</v>
      </c>
      <c r="AD11">
        <v>133.12245348383084</v>
      </c>
      <c r="AE11">
        <v>126.49606128465884</v>
      </c>
      <c r="AF11">
        <v>119.86966908548683</v>
      </c>
      <c r="AG11">
        <v>113.24612492947972</v>
      </c>
      <c r="AH11">
        <v>106.62258077347261</v>
      </c>
      <c r="AI11">
        <f>B11</f>
        <v>100</v>
      </c>
    </row>
    <row r="13" spans="1:35" x14ac:dyDescent="0.35">
      <c r="D13" t="s">
        <v>10</v>
      </c>
      <c r="F13">
        <f>F11+(($B$8*$B$3)/($B$7*$B$6))*((G11-2*F11+E11)/($B$2^2))</f>
        <v>293.28972913124124</v>
      </c>
      <c r="G13">
        <f t="shared" ref="G13:AH13" si="1">G11+(($B$8*$B$3)/($B$7*$B$6))*((H11-2*G11+F11)/($B$2^2))</f>
        <v>286.57945826248249</v>
      </c>
      <c r="H13">
        <f t="shared" si="1"/>
        <v>279.87109310660196</v>
      </c>
      <c r="I13">
        <f t="shared" si="1"/>
        <v>273.16272795072143</v>
      </c>
      <c r="J13">
        <f t="shared" si="1"/>
        <v>266.45809093179827</v>
      </c>
      <c r="K13">
        <f t="shared" si="1"/>
        <v>259.7534539128751</v>
      </c>
      <c r="L13">
        <f t="shared" si="1"/>
        <v>253.05420451751024</v>
      </c>
      <c r="M13">
        <f t="shared" si="1"/>
        <v>246.35495512214538</v>
      </c>
      <c r="N13">
        <f t="shared" si="1"/>
        <v>239.6625173719334</v>
      </c>
      <c r="O13">
        <f t="shared" si="1"/>
        <v>232.9700796217214</v>
      </c>
      <c r="P13">
        <f t="shared" si="1"/>
        <v>226.28557983667321</v>
      </c>
      <c r="Q13">
        <f t="shared" si="1"/>
        <v>219.60108005162505</v>
      </c>
      <c r="R13">
        <f t="shared" si="1"/>
        <v>212.92529762457946</v>
      </c>
      <c r="S13">
        <f t="shared" si="1"/>
        <v>206.24951519753387</v>
      </c>
      <c r="T13">
        <f t="shared" si="1"/>
        <v>199.58284853095171</v>
      </c>
      <c r="U13">
        <f t="shared" si="1"/>
        <v>192.91618186436955</v>
      </c>
      <c r="V13">
        <f t="shared" si="1"/>
        <v>186.25863095823621</v>
      </c>
      <c r="W13">
        <f t="shared" si="1"/>
        <v>179.60108005210287</v>
      </c>
      <c r="X13">
        <f t="shared" si="1"/>
        <v>172.95224650393078</v>
      </c>
      <c r="Y13">
        <f t="shared" si="1"/>
        <v>166.30341295575869</v>
      </c>
      <c r="Z13">
        <f t="shared" si="1"/>
        <v>159.66251737268954</v>
      </c>
      <c r="AA13">
        <f t="shared" si="1"/>
        <v>153.02162178962041</v>
      </c>
      <c r="AB13">
        <f t="shared" si="1"/>
        <v>146.38753785163425</v>
      </c>
      <c r="AC13">
        <f t="shared" si="1"/>
        <v>139.75345391364812</v>
      </c>
      <c r="AD13">
        <f t="shared" si="1"/>
        <v>133.12475759915347</v>
      </c>
      <c r="AE13">
        <f t="shared" si="1"/>
        <v>126.49606128465884</v>
      </c>
      <c r="AF13">
        <f t="shared" si="1"/>
        <v>119.87109310706927</v>
      </c>
      <c r="AG13">
        <f t="shared" si="1"/>
        <v>113.24612492947972</v>
      </c>
      <c r="AH13">
        <f t="shared" si="1"/>
        <v>106.62306246473986</v>
      </c>
    </row>
  </sheetData>
  <conditionalFormatting sqref="E11:AI11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Кусова дз1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allkus</dc:creator>
  <cp:lastModifiedBy>allkus</cp:lastModifiedBy>
  <dcterms:created xsi:type="dcterms:W3CDTF">2021-09-27T08:59:23Z</dcterms:created>
  <dcterms:modified xsi:type="dcterms:W3CDTF">2021-09-27T08:59:54Z</dcterms:modified>
</cp:coreProperties>
</file>